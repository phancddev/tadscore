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ÍNH ĐIỂM" sheetId="1" r:id="rId5"/>
  </sheets>
  <definedNames/>
  <calcPr/>
</workbook>
</file>

<file path=xl/sharedStrings.xml><?xml version="1.0" encoding="utf-8"?>
<sst xmlns="http://schemas.openxmlformats.org/spreadsheetml/2006/main" count="25" uniqueCount="25">
  <si>
    <t>TÊN NHÀ</t>
  </si>
  <si>
    <t>XẾP HẠNG</t>
  </si>
  <si>
    <t>CỬA HÀNG</t>
  </si>
  <si>
    <t>TỔNG HUY HIỆU</t>
  </si>
  <si>
    <t>TỔNG MẢNH GHÉP</t>
  </si>
  <si>
    <t>Warm up 1</t>
  </si>
  <si>
    <t>Warm up 2</t>
  </si>
  <si>
    <t>Warm up 3</t>
  </si>
  <si>
    <t>Warm up 4</t>
  </si>
  <si>
    <t>Warm up 5</t>
  </si>
  <si>
    <t>Midterm game 1</t>
  </si>
  <si>
    <t>Midterm game 2</t>
  </si>
  <si>
    <t>Midterm game 3</t>
  </si>
  <si>
    <t>Midterm game 4</t>
  </si>
  <si>
    <t>Midterm game 5</t>
  </si>
  <si>
    <t>Big Game 1</t>
  </si>
  <si>
    <t>Big Game 2</t>
  </si>
  <si>
    <t>Phát Biểu (Đơn vị: Số huy hiệu)</t>
  </si>
  <si>
    <t>Vi phạm (Đơn vị: Số huy hiệu</t>
  </si>
  <si>
    <t>MẢNH GHÉP</t>
  </si>
  <si>
    <t>VẬT PHẨM</t>
  </si>
  <si>
    <t>Nhà Lan</t>
  </si>
  <si>
    <t>Nhà Mai</t>
  </si>
  <si>
    <t>Nhà Cúc</t>
  </si>
  <si>
    <t>Nhà Trúc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</si>
</sst>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Source Serif Pro"/>
    </font>
    <font>
      <b/>
      <sz val="18.0"/>
      <color theme="1"/>
      <name val="Source Serif Pro"/>
    </font>
    <font/>
    <font>
      <sz val="13.0"/>
      <color theme="1"/>
      <name val="Source Serif Pro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2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2" fillId="2" fontId="1" numFmtId="0" xfId="0" applyAlignment="1" applyBorder="1" applyFont="1">
      <alignment horizontal="center" readingOrder="0" vertical="center"/>
    </xf>
    <xf borderId="5" fillId="0" fontId="3" numFmtId="0" xfId="0" applyBorder="1" applyFont="1"/>
    <xf borderId="6" fillId="3" fontId="4" numFmtId="0" xfId="0" applyAlignment="1" applyBorder="1" applyFill="1" applyFont="1">
      <alignment horizontal="center" readingOrder="0"/>
    </xf>
    <xf borderId="6" fillId="2" fontId="1" numFmtId="0" xfId="0" applyAlignment="1" applyBorder="1" applyFont="1">
      <alignment horizontal="center" readingOrder="0" vertical="center"/>
    </xf>
    <xf borderId="6" fillId="4" fontId="4" numFmtId="0" xfId="0" applyAlignment="1" applyBorder="1" applyFill="1" applyFont="1">
      <alignment horizontal="center" readingOrder="0"/>
    </xf>
    <xf borderId="6" fillId="4" fontId="4" numFmtId="0" xfId="0" applyAlignment="1" applyBorder="1" applyFont="1">
      <alignment readingOrder="0"/>
    </xf>
    <xf borderId="6" fillId="4" fontId="4" numFmtId="0" xfId="0" applyBorder="1" applyFont="1"/>
    <xf borderId="6" fillId="0" fontId="5" numFmtId="0" xfId="0" applyBorder="1" applyFont="1"/>
    <xf borderId="6" fillId="5" fontId="4" numFmtId="0" xfId="0" applyAlignment="1" applyBorder="1" applyFill="1" applyFont="1">
      <alignment horizontal="center" readingOrder="0"/>
    </xf>
    <xf borderId="6" fillId="5" fontId="4" numFmtId="0" xfId="0" applyAlignment="1" applyBorder="1" applyFont="1">
      <alignment readingOrder="0"/>
    </xf>
    <xf borderId="6" fillId="5" fontId="4" numFmtId="0" xfId="0" applyBorder="1" applyFont="1"/>
    <xf borderId="6" fillId="5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5"/>
    <col customWidth="1" min="6" max="6" width="11.63"/>
    <col customWidth="1" min="7" max="9" width="16.88"/>
    <col customWidth="1" min="10" max="10" width="17.13"/>
    <col customWidth="1" min="11" max="11" width="17.0"/>
    <col customWidth="1" min="12" max="12" width="12.13"/>
    <col customWidth="1" min="14" max="14" width="30.88"/>
    <col customWidth="1" min="15" max="15" width="28.63"/>
    <col customWidth="1" min="16" max="16" width="19.38"/>
    <col customWidth="1" min="17" max="19" width="26.8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5" t="s">
        <v>2</v>
      </c>
      <c r="Q1" s="4"/>
      <c r="R1" s="1" t="s">
        <v>3</v>
      </c>
      <c r="S1" s="1" t="s">
        <v>4</v>
      </c>
    </row>
    <row r="2">
      <c r="A2" s="6"/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11</v>
      </c>
      <c r="I2" s="7" t="s">
        <v>12</v>
      </c>
      <c r="J2" s="7" t="s">
        <v>13</v>
      </c>
      <c r="K2" s="7" t="s">
        <v>14</v>
      </c>
      <c r="L2" s="7" t="s">
        <v>15</v>
      </c>
      <c r="M2" s="7" t="s">
        <v>16</v>
      </c>
      <c r="N2" s="7" t="s">
        <v>17</v>
      </c>
      <c r="O2" s="7" t="s">
        <v>18</v>
      </c>
      <c r="P2" s="8" t="s">
        <v>19</v>
      </c>
      <c r="Q2" s="8" t="s">
        <v>20</v>
      </c>
      <c r="R2" s="6"/>
      <c r="S2" s="6"/>
    </row>
    <row r="3">
      <c r="A3" s="9" t="s">
        <v>21</v>
      </c>
      <c r="B3" s="10">
        <v>2.0</v>
      </c>
      <c r="C3" s="10"/>
      <c r="D3" s="11"/>
      <c r="E3" s="11"/>
      <c r="F3" s="10"/>
      <c r="G3" s="11"/>
      <c r="H3" s="11"/>
      <c r="I3" s="11"/>
      <c r="J3" s="11"/>
      <c r="K3" s="11"/>
      <c r="L3" s="10"/>
      <c r="M3" s="10"/>
      <c r="N3" s="10"/>
      <c r="O3" s="10"/>
      <c r="P3" s="11"/>
      <c r="Q3" s="11"/>
      <c r="R3" s="12">
        <f t="shared" ref="R3:R6" si="1">COUNTIF(B3:F3,1)*14+COUNTIF(B3:F3,2)*7+COUNTIF(B3:F3,3)*4+COUNTIF(B3:F3,4)*2+COUNTIF(G3:K3,1)*16+COUNTIF(G3:K3,2)*8+COUNTIF(G3:K3,3)*5+COUNTIF(G3:K3,4)*3+SWITCH(L3,1,150,2,100,3,20,4,5,0)+SWITCH(M3,1,120,2,60,3,40,4,20,0)+N3-O3-P3*140-Q3*90</f>
        <v>7</v>
      </c>
      <c r="S3" s="11">
        <f t="shared" ref="S3:S6" si="2">P3+IF(M3=1,3,IF(M3=2,1,0))</f>
        <v>0</v>
      </c>
    </row>
    <row r="4">
      <c r="A4" s="13" t="s">
        <v>22</v>
      </c>
      <c r="B4" s="14"/>
      <c r="C4" s="14">
        <v>3.0</v>
      </c>
      <c r="D4" s="15"/>
      <c r="E4" s="15"/>
      <c r="F4" s="15"/>
      <c r="G4" s="15"/>
      <c r="H4" s="15"/>
      <c r="I4" s="15"/>
      <c r="J4" s="15"/>
      <c r="K4" s="15"/>
      <c r="L4" s="14"/>
      <c r="M4" s="14"/>
      <c r="N4" s="15"/>
      <c r="O4" s="15"/>
      <c r="P4" s="15"/>
      <c r="Q4" s="15"/>
      <c r="R4" s="16">
        <f t="shared" si="1"/>
        <v>4</v>
      </c>
      <c r="S4" s="15">
        <f t="shared" si="2"/>
        <v>0</v>
      </c>
    </row>
    <row r="5">
      <c r="A5" s="9" t="s">
        <v>23</v>
      </c>
      <c r="B5" s="10"/>
      <c r="C5" s="10"/>
      <c r="D5" s="11"/>
      <c r="E5" s="11"/>
      <c r="F5" s="11"/>
      <c r="G5" s="11"/>
      <c r="H5" s="11"/>
      <c r="I5" s="11"/>
      <c r="J5" s="11"/>
      <c r="K5" s="11"/>
      <c r="L5" s="10"/>
      <c r="M5" s="11"/>
      <c r="N5" s="11"/>
      <c r="O5" s="11"/>
      <c r="P5" s="11"/>
      <c r="Q5" s="11"/>
      <c r="R5" s="12">
        <f t="shared" si="1"/>
        <v>0</v>
      </c>
      <c r="S5" s="11">
        <f t="shared" si="2"/>
        <v>0</v>
      </c>
    </row>
    <row r="6">
      <c r="A6" s="13" t="s">
        <v>24</v>
      </c>
      <c r="B6" s="14"/>
      <c r="C6" s="14"/>
      <c r="D6" s="15"/>
      <c r="E6" s="15"/>
      <c r="F6" s="15"/>
      <c r="G6" s="15"/>
      <c r="H6" s="15"/>
      <c r="I6" s="15"/>
      <c r="J6" s="15"/>
      <c r="K6" s="15"/>
      <c r="L6" s="14"/>
      <c r="M6" s="15"/>
      <c r="N6" s="15"/>
      <c r="O6" s="15"/>
      <c r="P6" s="15"/>
      <c r="Q6" s="15"/>
      <c r="R6" s="16">
        <f t="shared" si="1"/>
        <v>0</v>
      </c>
      <c r="S6" s="15">
        <f t="shared" si="2"/>
        <v>0</v>
      </c>
    </row>
  </sheetData>
  <mergeCells count="5">
    <mergeCell ref="A1:A2"/>
    <mergeCell ref="B1:O1"/>
    <mergeCell ref="P1:Q1"/>
    <mergeCell ref="R1:R2"/>
    <mergeCell ref="S1:S2"/>
  </mergeCells>
  <drawing r:id="rId1"/>
</worksheet>
</file>